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C9A84C"/>
      <sz val="13"/>
    </font>
    <font>
      <name val="Arial"/>
      <b val="1"/>
      <color rgb="001C1912"/>
      <sz val="10"/>
    </font>
    <font>
      <name val="Arial"/>
      <sz val="10"/>
    </font>
    <font>
      <name val="Arial"/>
      <b val="1"/>
      <color rgb="001C1912"/>
      <sz val="14"/>
    </font>
    <font>
      <name val="Arial"/>
      <b val="1"/>
      <color rgb="00FFFFFF"/>
      <sz val="10"/>
    </font>
    <font>
      <name val="Arial"/>
      <b val="1"/>
      <color rgb="001565C0"/>
      <sz val="22"/>
    </font>
    <font>
      <name val="Arial"/>
      <b val="1"/>
      <color rgb="002E7D32"/>
      <sz val="22"/>
    </font>
    <font>
      <name val="Arial"/>
      <b val="1"/>
      <color rgb="00E65100"/>
      <sz val="22"/>
    </font>
    <font>
      <name val="Arial"/>
      <b val="1"/>
      <color rgb="00C9A84C"/>
      <sz val="22"/>
    </font>
    <font>
      <name val="Arial"/>
      <b val="1"/>
      <sz val="11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4CAF50"/>
      <sz val="10"/>
    </font>
    <font>
      <name val="Arial"/>
      <b val="1"/>
      <color rgb="00C62828"/>
      <sz val="10"/>
    </font>
    <font>
      <name val="Arial"/>
      <b val="1"/>
      <color rgb="001C1912"/>
      <sz val="11"/>
    </font>
    <font>
      <name val="Arial"/>
      <color rgb="001C1912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C1912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65100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medium">
        <color rgb="002E7D32"/>
      </left>
      <right style="medium">
        <color rgb="002E7D32"/>
      </right>
      <top style="medium">
        <color rgb="002E7D32"/>
      </top>
      <bottom style="medium">
        <color rgb="002E7D32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0" fillId="0" borderId="0" pivotButton="0" quotePrefix="0" xfId="0"/>
    <xf numFmtId="0" fontId="3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" fillId="2" borderId="0" applyAlignment="1" pivotButton="0" quotePrefix="0" xfId="0">
      <alignment vertical="center"/>
    </xf>
    <xf numFmtId="0" fontId="16" fillId="3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8" customWidth="1" min="4" max="4"/>
    <col width="14" customWidth="1" min="5" max="5"/>
    <col width="5" customWidth="1" min="6" max="6"/>
    <col width="10" customWidth="1" min="7" max="7"/>
    <col width="18" customWidth="1" min="8" max="8"/>
    <col width="15" customWidth="1" min="9" max="9"/>
    <col width="22" customWidth="1" min="10" max="10"/>
    <col width="26" customWidth="1" min="11" max="11"/>
    <col width="26" customWidth="1" min="12" max="12"/>
    <col width="14" customWidth="1" min="13" max="13"/>
    <col width="12" customWidth="1" min="14" max="14"/>
    <col width="11" customWidth="1" min="15" max="15"/>
    <col width="12" customWidth="1" min="16" max="16"/>
    <col width="24" customWidth="1" min="17" max="17"/>
  </cols>
  <sheetData>
    <row r="1" ht="26" customHeight="1">
      <c r="A1" s="1" t="inlineStr">
        <is>
          <t>PACIFIC ELITE RIDES — Booking Log</t>
        </is>
      </c>
    </row>
    <row r="2" ht="26" customHeight="1">
      <c r="A2" s="2" t="inlineStr">
        <is>
          <t>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Service</t>
        </is>
      </c>
      <c r="E2" s="2" t="inlineStr">
        <is>
          <t>Vehicle</t>
        </is>
      </c>
      <c r="F2" s="2" t="inlineStr">
        <is>
          <t>Pax</t>
        </is>
      </c>
      <c r="G2" s="2" t="inlineStr">
        <is>
          <t>Flight #</t>
        </is>
      </c>
      <c r="H2" s="2" t="inlineStr">
        <is>
          <t>Client Name</t>
        </is>
      </c>
      <c r="I2" s="2" t="inlineStr">
        <is>
          <t>Phone</t>
        </is>
      </c>
      <c r="J2" s="2" t="inlineStr">
        <is>
          <t>Email</t>
        </is>
      </c>
      <c r="K2" s="2" t="inlineStr">
        <is>
          <t>Pickup</t>
        </is>
      </c>
      <c r="L2" s="2" t="inlineStr">
        <is>
          <t>Dropoff</t>
        </is>
      </c>
      <c r="M2" s="2" t="inlineStr">
        <is>
          <t>Stops</t>
        </is>
      </c>
      <c r="N2" s="2" t="inlineStr">
        <is>
          <t>Payment</t>
        </is>
      </c>
      <c r="O2" s="2" t="inlineStr">
        <is>
          <t>Price ($)</t>
        </is>
      </c>
      <c r="P2" s="2" t="inlineStr">
        <is>
          <t>Status</t>
        </is>
      </c>
      <c r="Q2" s="2" t="inlineStr">
        <is>
          <t>Notes</t>
        </is>
      </c>
    </row>
    <row r="3" ht="20" customHeight="1">
      <c r="A3" s="3" t="inlineStr">
        <is>
          <t>PER-001</t>
        </is>
      </c>
      <c r="B3" s="3" t="inlineStr">
        <is>
          <t>2026-07-05</t>
        </is>
      </c>
      <c r="C3" s="3" t="inlineStr">
        <is>
          <t>09:00 AM</t>
        </is>
      </c>
      <c r="D3" s="3" t="inlineStr">
        <is>
          <t>Airport Transfer</t>
        </is>
      </c>
      <c r="E3" s="3" t="inlineStr">
        <is>
          <t>Suburban</t>
        </is>
      </c>
      <c r="F3" s="3" t="n">
        <v>2</v>
      </c>
      <c r="G3" s="3" t="inlineStr">
        <is>
          <t>AA1234</t>
        </is>
      </c>
      <c r="H3" s="3" t="inlineStr">
        <is>
          <t>John Smith</t>
        </is>
      </c>
      <c r="I3" s="3" t="inlineStr">
        <is>
          <t>(619) 555-0100</t>
        </is>
      </c>
      <c r="J3" s="3" t="inlineStr">
        <is>
          <t>john@email.com</t>
        </is>
      </c>
      <c r="K3" s="3" t="inlineStr">
        <is>
          <t>SAN Airport</t>
        </is>
      </c>
      <c r="L3" s="3" t="inlineStr">
        <is>
          <t>La Jolla, CA</t>
        </is>
      </c>
      <c r="M3" s="3" t="inlineStr"/>
      <c r="N3" s="3" t="inlineStr">
        <is>
          <t>Card</t>
        </is>
      </c>
      <c r="O3" s="3" t="n">
        <v>75</v>
      </c>
      <c r="P3" s="3" t="inlineStr">
        <is>
          <t>Confirmed</t>
        </is>
      </c>
      <c r="Q3" s="3" t="inlineStr">
        <is>
          <t>Meet &amp; greet</t>
        </is>
      </c>
    </row>
    <row r="4" ht="20" customHeight="1">
      <c r="A4" s="4" t="inlineStr">
        <is>
          <t>PER-002</t>
        </is>
      </c>
      <c r="B4" s="4" t="inlineStr">
        <is>
          <t>2026-07-05</t>
        </is>
      </c>
      <c r="C4" s="4" t="inlineStr">
        <is>
          <t>02:30 PM</t>
        </is>
      </c>
      <c r="D4" s="4" t="inlineStr">
        <is>
          <t>Hourly</t>
        </is>
      </c>
      <c r="E4" s="4" t="inlineStr">
        <is>
          <t>Escalade</t>
        </is>
      </c>
      <c r="F4" s="4" t="n">
        <v>4</v>
      </c>
      <c r="G4" s="4" t="inlineStr"/>
      <c r="H4" s="4" t="inlineStr">
        <is>
          <t>Sarah Johnson</t>
        </is>
      </c>
      <c r="I4" s="4" t="inlineStr">
        <is>
          <t>(858) 555-0200</t>
        </is>
      </c>
      <c r="J4" s="4" t="inlineStr">
        <is>
          <t>sarah@corp.com</t>
        </is>
      </c>
      <c r="K4" s="4" t="inlineStr">
        <is>
          <t>Downtown SD</t>
        </is>
      </c>
      <c r="L4" s="4" t="inlineStr">
        <is>
          <t>Del Mar, CA</t>
        </is>
      </c>
      <c r="M4" s="4" t="inlineStr"/>
      <c r="N4" s="4" t="inlineStr">
        <is>
          <t>Invoice</t>
        </is>
      </c>
      <c r="O4" s="4" t="n">
        <v>320</v>
      </c>
      <c r="P4" s="4" t="inlineStr">
        <is>
          <t>Completed</t>
        </is>
      </c>
      <c r="Q4" s="4" t="inlineStr">
        <is>
          <t>Corporate</t>
        </is>
      </c>
    </row>
    <row r="5" ht="20" customHeight="1">
      <c r="A5" s="3" t="inlineStr">
        <is>
          <t>PER-003</t>
        </is>
      </c>
      <c r="B5" s="3" t="inlineStr">
        <is>
          <t>2026-07-06</t>
        </is>
      </c>
      <c r="C5" s="3" t="inlineStr">
        <is>
          <t>11:00 AM</t>
        </is>
      </c>
      <c r="D5" s="3" t="inlineStr">
        <is>
          <t>Airport Transfer</t>
        </is>
      </c>
      <c r="E5" s="3" t="inlineStr">
        <is>
          <t>Suburban</t>
        </is>
      </c>
      <c r="F5" s="3" t="n">
        <v>3</v>
      </c>
      <c r="G5" s="3" t="inlineStr">
        <is>
          <t>UA789</t>
        </is>
      </c>
      <c r="H5" s="3" t="inlineStr">
        <is>
          <t>Carlos Rivera</t>
        </is>
      </c>
      <c r="I5" s="3" t="inlineStr">
        <is>
          <t>(619) 555-0300</t>
        </is>
      </c>
      <c r="J5" s="3" t="inlineStr">
        <is>
          <t>carlos@mail.com</t>
        </is>
      </c>
      <c r="K5" s="3" t="inlineStr">
        <is>
          <t>LAX Airport</t>
        </is>
      </c>
      <c r="L5" s="3" t="inlineStr">
        <is>
          <t>Chula Vista, CA</t>
        </is>
      </c>
      <c r="M5" s="3" t="inlineStr"/>
      <c r="N5" s="3" t="inlineStr">
        <is>
          <t>Cash</t>
        </is>
      </c>
      <c r="O5" s="3" t="n">
        <v>160</v>
      </c>
      <c r="P5" s="3" t="inlineStr">
        <is>
          <t>New</t>
        </is>
      </c>
      <c r="Q5" s="3" t="inlineStr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24" customWidth="1" min="4" max="4"/>
    <col width="16" customWidth="1" min="5" max="5"/>
    <col width="10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 ht="26" customHeight="1">
      <c r="A1" s="1" t="inlineStr">
        <is>
          <t>PACIFIC ELITE RIDES — Clients</t>
        </is>
      </c>
    </row>
    <row r="2" ht="26" customHeight="1">
      <c r="A2" s="2" t="inlineStr">
        <is>
          <t>Client ID</t>
        </is>
      </c>
      <c r="B2" s="2" t="inlineStr">
        <is>
          <t>Full Name</t>
        </is>
      </c>
      <c r="C2" s="2" t="inlineStr">
        <is>
          <t>Phone</t>
        </is>
      </c>
      <c r="D2" s="2" t="inlineStr">
        <is>
          <t>Email</t>
        </is>
      </c>
      <c r="E2" s="2" t="inlineStr">
        <is>
          <t>Preferred Vehicle</t>
        </is>
      </c>
      <c r="F2" s="2" t="inlineStr">
        <is>
          <t>Language</t>
        </is>
      </c>
      <c r="G2" s="2" t="inlineStr">
        <is>
          <t>Total Bookings</t>
        </is>
      </c>
      <c r="H2" s="2" t="inlineStr">
        <is>
          <t>Total Spent ($)</t>
        </is>
      </c>
      <c r="I2" s="2" t="inlineStr">
        <is>
          <t>Last Ride</t>
        </is>
      </c>
      <c r="J2" s="2" t="inlineStr">
        <is>
          <t>Notes</t>
        </is>
      </c>
    </row>
    <row r="3" ht="20" customHeight="1">
      <c r="A3" s="3" t="inlineStr">
        <is>
          <t>CLI-001</t>
        </is>
      </c>
      <c r="B3" s="3" t="inlineStr">
        <is>
          <t>John Smith</t>
        </is>
      </c>
      <c r="C3" s="3" t="inlineStr">
        <is>
          <t>(619) 555-0100</t>
        </is>
      </c>
      <c r="D3" s="3" t="inlineStr">
        <is>
          <t>john@email.com</t>
        </is>
      </c>
      <c r="E3" s="3" t="inlineStr">
        <is>
          <t>Suburban</t>
        </is>
      </c>
      <c r="F3" s="3" t="inlineStr">
        <is>
          <t>EN</t>
        </is>
      </c>
      <c r="G3" s="3" t="n">
        <v>1</v>
      </c>
      <c r="H3" s="3" t="n">
        <v>75</v>
      </c>
      <c r="I3" s="3" t="inlineStr">
        <is>
          <t>2026-07-05</t>
        </is>
      </c>
      <c r="J3" s="3" t="inlineStr">
        <is>
          <t>VIP</t>
        </is>
      </c>
    </row>
    <row r="4" ht="20" customHeight="1">
      <c r="A4" s="4" t="inlineStr">
        <is>
          <t>CLI-002</t>
        </is>
      </c>
      <c r="B4" s="4" t="inlineStr">
        <is>
          <t>Sarah Johnson</t>
        </is>
      </c>
      <c r="C4" s="4" t="inlineStr">
        <is>
          <t>(858) 555-0200</t>
        </is>
      </c>
      <c r="D4" s="4" t="inlineStr">
        <is>
          <t>sarah@corp.com</t>
        </is>
      </c>
      <c r="E4" s="4" t="inlineStr">
        <is>
          <t>Escalade</t>
        </is>
      </c>
      <c r="F4" s="4" t="inlineStr">
        <is>
          <t>EN</t>
        </is>
      </c>
      <c r="G4" s="4" t="n">
        <v>1</v>
      </c>
      <c r="H4" s="4" t="n">
        <v>320</v>
      </c>
      <c r="I4" s="4" t="inlineStr">
        <is>
          <t>2026-07-05</t>
        </is>
      </c>
      <c r="J4" s="4" t="inlineStr">
        <is>
          <t>Corporate</t>
        </is>
      </c>
    </row>
    <row r="5" ht="20" customHeight="1">
      <c r="A5" s="3" t="inlineStr">
        <is>
          <t>CLI-003</t>
        </is>
      </c>
      <c r="B5" s="3" t="inlineStr">
        <is>
          <t>Carlos Rivera</t>
        </is>
      </c>
      <c r="C5" s="3" t="inlineStr">
        <is>
          <t>(619) 555-0300</t>
        </is>
      </c>
      <c r="D5" s="3" t="inlineStr">
        <is>
          <t>carlos@mail.com</t>
        </is>
      </c>
      <c r="E5" s="3" t="inlineStr">
        <is>
          <t>Suburban</t>
        </is>
      </c>
      <c r="F5" s="3" t="inlineStr">
        <is>
          <t>ES</t>
        </is>
      </c>
      <c r="G5" s="3" t="n">
        <v>1</v>
      </c>
      <c r="H5" s="3" t="n">
        <v>160</v>
      </c>
      <c r="I5" s="3" t="inlineStr">
        <is>
          <t>2026-07-06</t>
        </is>
      </c>
      <c r="J5" s="3" t="inlineStr">
        <is>
          <t>Spanish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B2:I15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2" ht="30" customHeight="1">
      <c r="B2" s="5" t="inlineStr">
        <is>
          <t>PACIFIC ELITE RIDES — Dashboard</t>
        </is>
      </c>
    </row>
    <row r="4" ht="20" customHeight="1">
      <c r="B4" s="6" t="inlineStr">
        <is>
          <t>Total Bookings</t>
        </is>
      </c>
      <c r="E4" s="7" t="inlineStr">
        <is>
          <t>Revenue ($) Completed</t>
        </is>
      </c>
    </row>
    <row r="5" ht="36" customHeight="1">
      <c r="B5" s="8">
        <f>COUNTA(Bookings!A3:A1000)-1</f>
        <v/>
      </c>
      <c r="E5" s="9">
        <f>SUMIF(Bookings!P3:P1000,"Completed",Bookings!O3:O1000)</f>
        <v/>
      </c>
    </row>
    <row r="7" ht="20" customHeight="1">
      <c r="B7" s="10" t="inlineStr">
        <is>
          <t>Bookings Today</t>
        </is>
      </c>
      <c r="E7" s="11" t="inlineStr">
        <is>
          <t>Pending (New)</t>
        </is>
      </c>
    </row>
    <row r="8" ht="36" customHeight="1">
      <c r="B8" s="12">
        <f>COUNTIF(Bookings!B3:B1000,TODAY())</f>
        <v/>
      </c>
      <c r="E8" s="13">
        <f>COUNTIF(Bookings!P3:P1000,"New")</f>
        <v/>
      </c>
    </row>
    <row r="10">
      <c r="B10" s="14" t="inlineStr">
        <is>
          <t>Status Breakdown</t>
        </is>
      </c>
    </row>
    <row r="11" ht="20" customHeight="1">
      <c r="B11" s="15" t="inlineStr">
        <is>
          <t>New</t>
        </is>
      </c>
      <c r="C11" s="16">
        <f>COUNTIF(Bookings!P3:P1000,"New")</f>
        <v/>
      </c>
    </row>
    <row r="12" ht="20" customHeight="1">
      <c r="B12" s="15" t="inlineStr">
        <is>
          <t>Confirmed</t>
        </is>
      </c>
      <c r="C12" s="17">
        <f>COUNTIF(Bookings!P3:P1000,"Confirmed")</f>
        <v/>
      </c>
    </row>
    <row r="13" ht="20" customHeight="1">
      <c r="B13" s="15" t="inlineStr">
        <is>
          <t>In Progress</t>
        </is>
      </c>
      <c r="C13" s="18">
        <f>COUNTIF(Bookings!P3:P1000,"In Progress")</f>
        <v/>
      </c>
    </row>
    <row r="14" ht="20" customHeight="1">
      <c r="B14" s="15" t="inlineStr">
        <is>
          <t>Completed</t>
        </is>
      </c>
      <c r="C14" s="19">
        <f>COUNTIF(Bookings!P3:P1000,"Completed")</f>
        <v/>
      </c>
    </row>
    <row r="15" ht="20" customHeight="1">
      <c r="B15" s="15" t="inlineStr">
        <is>
          <t>Cancelled</t>
        </is>
      </c>
      <c r="C15" s="20">
        <f>COUNTIF(Bookings!P3:P1000,"Cancelled")</f>
        <v/>
      </c>
    </row>
  </sheetData>
  <mergeCells count="1"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88"/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65" customWidth="1" min="2" max="2"/>
  </cols>
  <sheetData>
    <row r="2" ht="22" customHeight="1">
      <c r="B2" s="21" t="inlineStr">
        <is>
          <t>HOW TO USE THIS SPREADSHEET</t>
        </is>
      </c>
    </row>
    <row r="4" ht="22" customHeight="1">
      <c r="B4" s="22" t="inlineStr">
        <is>
          <t>BOOKINGS TAB</t>
        </is>
      </c>
    </row>
    <row r="5" ht="22" customHeight="1">
      <c r="B5" s="23" t="inlineStr">
        <is>
          <t xml:space="preserve">  Add each new booking as a new row starting from row 4</t>
        </is>
      </c>
    </row>
    <row r="6" ht="22" customHeight="1">
      <c r="B6" s="23" t="inlineStr">
        <is>
          <t xml:space="preserve">  ID format: PER-001, PER-002, PER-003...</t>
        </is>
      </c>
    </row>
    <row r="7" ht="22" customHeight="1">
      <c r="B7" s="23" t="inlineStr">
        <is>
          <t xml:space="preserve">  Status: New / Confirmed / In Progress / Completed / Cancelled</t>
        </is>
      </c>
    </row>
    <row r="8" ht="22" customHeight="1">
      <c r="B8" s="23" t="inlineStr">
        <is>
          <t xml:space="preserve">  Payment: Card / Cash / Invoice / Zelle</t>
        </is>
      </c>
    </row>
    <row r="10" ht="22" customHeight="1">
      <c r="B10" s="22" t="inlineStr">
        <is>
          <t>CLIENTS TAB</t>
        </is>
      </c>
    </row>
    <row r="11" ht="22" customHeight="1">
      <c r="B11" s="23" t="inlineStr">
        <is>
          <t xml:space="preserve">  Add new clients as you get new customers</t>
        </is>
      </c>
    </row>
    <row r="12" ht="22" customHeight="1">
      <c r="B12" s="23" t="inlineStr">
        <is>
          <t xml:space="preserve">  Client ID format: CLI-001, CLI-002...</t>
        </is>
      </c>
    </row>
    <row r="14" ht="22" customHeight="1">
      <c r="B14" s="22" t="inlineStr">
        <is>
          <t>DASHBOARD TAB</t>
        </is>
      </c>
    </row>
    <row r="15" ht="22" customHeight="1">
      <c r="B15" s="23" t="inlineStr">
        <is>
          <t xml:space="preserve">  Updates automatically from the Bookings tab</t>
        </is>
      </c>
    </row>
    <row r="16" ht="22" customHeight="1">
      <c r="B16" s="23" t="inlineStr">
        <is>
          <t xml:space="preserve">  Press Ctrl+Alt+F9 (or Cmd+Opt+F9 on Mac) to refresh formulas</t>
        </is>
      </c>
    </row>
    <row r="18" ht="22" customHeight="1">
      <c r="B18" s="24" t="inlineStr">
        <is>
          <t>IMPORT TO GOOGLE SHEETS</t>
        </is>
      </c>
    </row>
    <row r="19" ht="22" customHeight="1">
      <c r="B19" s="23" t="inlineStr">
        <is>
          <t xml:space="preserve">  Google Sheets &gt; File &gt; Import &gt; Upload this file</t>
        </is>
      </c>
    </row>
    <row r="20" ht="22" customHeight="1">
      <c r="B20" s="23" t="inlineStr">
        <is>
          <t xml:space="preserve">  All formulas and formatting transfer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2026-06-30T13:39:10Z</dcterms:created>
  <dcterms:modified xmlns:dcterms="http://purl.org/dc/terms/" xmlns:xsi="http://www.w3.org/2001/XMLSchema-instance" xsi:type="dcterms:W3CDTF">2026-06-30T13:39:10Z</dcterms:modified>
</cp:coreProperties>
</file>