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berdnikovandrii/Documents/Claude/Projects/New beginning - Transport LLC/"/>
    </mc:Choice>
  </mc:AlternateContent>
  <xr:revisionPtr revIDLastSave="0" documentId="13_ncr:1_{E582CEAC-B2CB-2144-A7B4-369A685065A5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Earnings" sheetId="1" r:id="rId1"/>
    <sheet name="Private Ride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0" i="2" l="1"/>
  <c r="H10" i="2"/>
  <c r="G10" i="2"/>
  <c r="I8" i="2"/>
  <c r="I7" i="2"/>
  <c r="I6" i="2"/>
  <c r="I5" i="2"/>
  <c r="I4" i="2"/>
  <c r="D7" i="1"/>
  <c r="C7" i="1"/>
  <c r="G6" i="1"/>
  <c r="F6" i="1"/>
  <c r="E6" i="1"/>
  <c r="G5" i="1"/>
  <c r="G7" i="1" s="1"/>
  <c r="F5" i="1"/>
  <c r="F7" i="1" s="1"/>
  <c r="E5" i="1"/>
  <c r="I4" i="1"/>
  <c r="H4" i="1"/>
  <c r="I6" i="1" l="1"/>
  <c r="H6" i="1"/>
  <c r="E7" i="1"/>
  <c r="I5" i="1"/>
  <c r="H5" i="1"/>
  <c r="I7" i="1" l="1"/>
  <c r="H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G4" authorId="0" shapeId="0" xr:uid="{00000000-0006-0000-0000-000001000000}">
      <text>
        <r>
          <rPr>
            <sz val="10"/>
            <rFont val="Arial"/>
            <family val="2"/>
          </rPr>
          <t>Legacy entry from before the Fleet/Mine split (no per-ride detail on file). Assumed "Mine" — adjust if this was actually a fleet-vehicle ride.</t>
        </r>
      </text>
    </comment>
  </commentList>
</comments>
</file>

<file path=xl/sharedStrings.xml><?xml version="1.0" encoding="utf-8"?>
<sst xmlns="http://schemas.openxmlformats.org/spreadsheetml/2006/main" count="67" uniqueCount="39">
  <si>
    <t>PACIFIC ELITE RIDES — Earnings Tracker</t>
  </si>
  <si>
    <t>Period Start</t>
  </si>
  <si>
    <t>Period End</t>
  </si>
  <si>
    <t>Uber ($)</t>
  </si>
  <si>
    <t>Lyft ($)</t>
  </si>
  <si>
    <t>Private Rides – Fleet Fare ($)</t>
  </si>
  <si>
    <t>Private Rides – Fleet Tips ($)</t>
  </si>
  <si>
    <t>Private Rides – Mine ($)</t>
  </si>
  <si>
    <t>Total ($)</t>
  </si>
  <si>
    <t>Fleet Owes Me ($)</t>
  </si>
  <si>
    <t>2026-06-22</t>
  </si>
  <si>
    <t>2026-07-06</t>
  </si>
  <si>
    <t>2026-07-13</t>
  </si>
  <si>
    <t>2026-07-20</t>
  </si>
  <si>
    <t>TOTAL</t>
  </si>
  <si>
    <t>PACIFIC ELITE RIDES — Private Rides Detail</t>
  </si>
  <si>
    <t>Date</t>
  </si>
  <si>
    <t>Type (Fleet/Mine)</t>
  </si>
  <si>
    <t>Client</t>
  </si>
  <si>
    <t>Route</t>
  </si>
  <si>
    <t>Vehicle</t>
  </si>
  <si>
    <t>Fare ($)</t>
  </si>
  <si>
    <t>Tip ($)</t>
  </si>
  <si>
    <t>Payment</t>
  </si>
  <si>
    <t>Notes</t>
  </si>
  <si>
    <t>2026-07-10</t>
  </si>
  <si>
    <t>Fleet</t>
  </si>
  <si>
    <t>TBD</t>
  </si>
  <si>
    <t>San Diego → Los Angeles (SoFi Stadium), round trip</t>
  </si>
  <si>
    <t>Tip received directly</t>
  </si>
  <si>
    <t>Дуже гарний приватний райд</t>
  </si>
  <si>
    <t>2026-07-16</t>
  </si>
  <si>
    <t>Mine</t>
  </si>
  <si>
    <t>Marina Bay → Airport</t>
  </si>
  <si>
    <t>Coronado → Airport</t>
  </si>
  <si>
    <t>Barrio Logan → Coronado</t>
  </si>
  <si>
    <t>2026-07-17</t>
  </si>
  <si>
    <t>Oceanside Bar → Hotel</t>
  </si>
  <si>
    <t>How to use: add one row per private ride directly above the TOTAL row so totals auto-extend. Type must be exactly "Fleet" or "Mine" — it drives the Fleet/Mine split on the Earnings tab. Tips are assumed to always come directly to Andrii (even on Fleet rides) and are excluded from the Fleet Owes Me settlement — only the Fare portion of Fleet rides counts toward that. Fill Date, Period Start (must match a Period Start on the Earnings tab), Client, Route, Vehicle, Fare, Tip, Payment, Notes.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</si>
</sst>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&quot;($&quot;#,##0\);\-"/>
  </numFmts>
  <fonts count="6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0"/>
      <name val="Arial"/>
      <family val="2"/>
    </font>
    <font>
      <i/>
      <sz val="9"/>
      <color rgb="FF808080"/>
      <name val="Cambria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164" fontId="0" fillId="0" borderId="0" xfId="0" applyNumberFormat="1"/>
    <xf numFmtId="0" fontId="3" fillId="3" borderId="0" xfId="0" applyFont="1" applyFill="1"/>
    <xf numFmtId="164" fontId="3" fillId="3" borderId="0" xfId="0" applyNumberFormat="1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topLeftCell="B1" zoomScaleNormal="100" workbookViewId="0">
      <pane ySplit="3" topLeftCell="A4" activePane="bottomLeft" state="frozen"/>
      <selection pane="bottomLeft" activeCell="K11" sqref="K11"/>
    </sheetView>
  </sheetViews>
  <sheetFormatPr baseColWidth="10" defaultColWidth="8.6640625" defaultRowHeight="15" x14ac:dyDescent="0.2"/>
  <cols>
    <col min="1" max="2" width="14" customWidth="1"/>
    <col min="3" max="4" width="12" customWidth="1"/>
    <col min="5" max="6" width="20" customWidth="1"/>
    <col min="7" max="7" width="18" customWidth="1"/>
    <col min="8" max="8" width="12" customWidth="1"/>
    <col min="9" max="9" width="16" customWidth="1"/>
  </cols>
  <sheetData>
    <row r="1" spans="1:9" ht="18" x14ac:dyDescent="0.2">
      <c r="A1" s="1" t="s">
        <v>0</v>
      </c>
    </row>
    <row r="3" spans="1:9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x14ac:dyDescent="0.2">
      <c r="A4" t="s">
        <v>10</v>
      </c>
      <c r="B4" t="s">
        <v>11</v>
      </c>
      <c r="C4" s="3">
        <v>2254</v>
      </c>
      <c r="D4" s="3">
        <v>307</v>
      </c>
      <c r="E4" s="3">
        <v>0</v>
      </c>
      <c r="F4" s="3">
        <v>0</v>
      </c>
      <c r="G4" s="3">
        <v>150</v>
      </c>
      <c r="H4" s="3">
        <f>SUM(C4:G4)</f>
        <v>2711</v>
      </c>
      <c r="I4" s="3">
        <f>(C4+E4)-750</f>
        <v>1504</v>
      </c>
    </row>
    <row r="5" spans="1:9" x14ac:dyDescent="0.2">
      <c r="A5" t="s">
        <v>11</v>
      </c>
      <c r="B5" t="s">
        <v>12</v>
      </c>
      <c r="C5" s="3">
        <v>663</v>
      </c>
      <c r="D5" s="3">
        <v>163</v>
      </c>
      <c r="E5" s="3">
        <f>SUMIFS('Private Rides'!G:G,'Private Rides'!B:B,A5,'Private Rides'!C:C,"Fleet")</f>
        <v>665</v>
      </c>
      <c r="F5" s="3">
        <f>SUMIFS('Private Rides'!H:H,'Private Rides'!B:B,A5,'Private Rides'!C:C,"Fleet")</f>
        <v>350</v>
      </c>
      <c r="G5" s="3">
        <f>SUMIFS('Private Rides'!I:I,'Private Rides'!B:B,A5,'Private Rides'!C:C,"Mine")</f>
        <v>0</v>
      </c>
      <c r="H5" s="3">
        <f>SUM(C5:G5)</f>
        <v>1841</v>
      </c>
      <c r="I5" s="3">
        <f>(C5+E5)-750</f>
        <v>578</v>
      </c>
    </row>
    <row r="6" spans="1:9" x14ac:dyDescent="0.2">
      <c r="A6" t="s">
        <v>12</v>
      </c>
      <c r="B6" t="s">
        <v>13</v>
      </c>
      <c r="C6" s="3">
        <v>1754</v>
      </c>
      <c r="D6" s="3">
        <v>264</v>
      </c>
      <c r="E6" s="3">
        <f>SUMIFS('Private Rides'!G:G,'Private Rides'!B:B,A6,'Private Rides'!C:C,"Fleet")</f>
        <v>0</v>
      </c>
      <c r="F6" s="3">
        <f>SUMIFS('Private Rides'!H:H,'Private Rides'!B:B,A6,'Private Rides'!C:C,"Fleet")</f>
        <v>0</v>
      </c>
      <c r="G6" s="3">
        <f>SUMIFS('Private Rides'!I:I,'Private Rides'!B:B,A6,'Private Rides'!C:C,"Mine")</f>
        <v>260</v>
      </c>
      <c r="H6" s="3">
        <f>SUM(C6:G6)</f>
        <v>2278</v>
      </c>
      <c r="I6" s="3">
        <f>(C6+E6)-750</f>
        <v>1004</v>
      </c>
    </row>
    <row r="7" spans="1:9" x14ac:dyDescent="0.2">
      <c r="B7" s="4" t="s">
        <v>14</v>
      </c>
      <c r="C7" s="5">
        <f t="shared" ref="C7:I7" si="0">SUM(C4:C6)</f>
        <v>4671</v>
      </c>
      <c r="D7" s="5">
        <f t="shared" si="0"/>
        <v>734</v>
      </c>
      <c r="E7" s="5">
        <f t="shared" si="0"/>
        <v>665</v>
      </c>
      <c r="F7" s="5">
        <f t="shared" si="0"/>
        <v>350</v>
      </c>
      <c r="G7" s="5">
        <f t="shared" si="0"/>
        <v>410</v>
      </c>
      <c r="H7" s="5">
        <f t="shared" si="0"/>
        <v>6830</v>
      </c>
      <c r="I7" s="5">
        <f t="shared" si="0"/>
        <v>3086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5" x14ac:dyDescent="0.2"/>
  <cols>
    <col min="1" max="1" width="12" customWidth="1"/>
    <col min="2" max="2" width="13" customWidth="1"/>
    <col min="3" max="4" width="16" customWidth="1"/>
    <col min="5" max="5" width="22" customWidth="1"/>
    <col min="6" max="6" width="12" customWidth="1"/>
    <col min="7" max="8" width="10" customWidth="1"/>
    <col min="9" max="9" width="12" customWidth="1"/>
    <col min="10" max="10" width="16" customWidth="1"/>
    <col min="11" max="11" width="30" customWidth="1"/>
  </cols>
  <sheetData>
    <row r="1" spans="1:11" ht="18" x14ac:dyDescent="0.2">
      <c r="A1" s="1" t="s">
        <v>15</v>
      </c>
    </row>
    <row r="3" spans="1:11" x14ac:dyDescent="0.2">
      <c r="A3" s="2" t="s">
        <v>16</v>
      </c>
      <c r="B3" s="2" t="s">
        <v>1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8</v>
      </c>
      <c r="J3" s="2" t="s">
        <v>23</v>
      </c>
      <c r="K3" s="2" t="s">
        <v>24</v>
      </c>
    </row>
    <row r="4" spans="1:11" x14ac:dyDescent="0.2">
      <c r="A4" t="s">
        <v>25</v>
      </c>
      <c r="B4" t="s">
        <v>11</v>
      </c>
      <c r="C4" t="s">
        <v>26</v>
      </c>
      <c r="D4" t="s">
        <v>27</v>
      </c>
      <c r="E4" t="s">
        <v>28</v>
      </c>
      <c r="F4" t="s">
        <v>27</v>
      </c>
      <c r="G4" s="3">
        <v>665</v>
      </c>
      <c r="H4" s="3">
        <v>350</v>
      </c>
      <c r="I4" s="3">
        <f>G4+H4</f>
        <v>1015</v>
      </c>
      <c r="J4" t="s">
        <v>29</v>
      </c>
      <c r="K4" t="s">
        <v>30</v>
      </c>
    </row>
    <row r="5" spans="1:11" x14ac:dyDescent="0.2">
      <c r="A5" t="s">
        <v>31</v>
      </c>
      <c r="B5" t="s">
        <v>12</v>
      </c>
      <c r="C5" t="s">
        <v>32</v>
      </c>
      <c r="D5" t="s">
        <v>27</v>
      </c>
      <c r="E5" t="s">
        <v>33</v>
      </c>
      <c r="F5" t="s">
        <v>27</v>
      </c>
      <c r="G5" s="3">
        <v>55</v>
      </c>
      <c r="H5" s="3">
        <v>0</v>
      </c>
      <c r="I5" s="3">
        <f>G5+H5</f>
        <v>55</v>
      </c>
      <c r="J5" t="s">
        <v>27</v>
      </c>
    </row>
    <row r="6" spans="1:11" x14ac:dyDescent="0.2">
      <c r="A6" t="s">
        <v>31</v>
      </c>
      <c r="B6" t="s">
        <v>12</v>
      </c>
      <c r="C6" t="s">
        <v>32</v>
      </c>
      <c r="D6" t="s">
        <v>27</v>
      </c>
      <c r="E6" t="s">
        <v>34</v>
      </c>
      <c r="F6" t="s">
        <v>27</v>
      </c>
      <c r="G6" s="3">
        <v>65</v>
      </c>
      <c r="H6" s="3">
        <v>0</v>
      </c>
      <c r="I6" s="3">
        <f>G6+H6</f>
        <v>65</v>
      </c>
      <c r="J6" t="s">
        <v>27</v>
      </c>
    </row>
    <row r="7" spans="1:11" x14ac:dyDescent="0.2">
      <c r="A7" t="s">
        <v>31</v>
      </c>
      <c r="B7" t="s">
        <v>12</v>
      </c>
      <c r="C7" t="s">
        <v>32</v>
      </c>
      <c r="D7" t="s">
        <v>27</v>
      </c>
      <c r="E7" t="s">
        <v>35</v>
      </c>
      <c r="F7" t="s">
        <v>27</v>
      </c>
      <c r="G7" s="3">
        <v>40</v>
      </c>
      <c r="H7" s="3">
        <v>0</v>
      </c>
      <c r="I7" s="3">
        <f>G7+H7</f>
        <v>40</v>
      </c>
      <c r="J7" t="s">
        <v>27</v>
      </c>
    </row>
    <row r="8" spans="1:11" x14ac:dyDescent="0.2">
      <c r="A8" t="s">
        <v>36</v>
      </c>
      <c r="B8" t="s">
        <v>12</v>
      </c>
      <c r="C8" t="s">
        <v>32</v>
      </c>
      <c r="D8" t="s">
        <v>27</v>
      </c>
      <c r="E8" t="s">
        <v>37</v>
      </c>
      <c r="F8" t="s">
        <v>27</v>
      </c>
      <c r="G8" s="3">
        <v>100</v>
      </c>
      <c r="H8" s="3">
        <v>0</v>
      </c>
      <c r="I8" s="3">
        <f>G8+H8</f>
        <v>100</v>
      </c>
      <c r="J8" t="s">
        <v>27</v>
      </c>
    </row>
    <row r="10" spans="1:11" x14ac:dyDescent="0.2">
      <c r="E10" s="4" t="s">
        <v>14</v>
      </c>
      <c r="G10" s="5">
        <f>SUM(G4:G8)</f>
        <v>925</v>
      </c>
      <c r="H10" s="5">
        <f>SUM(H4:H8)</f>
        <v>350</v>
      </c>
      <c r="I10" s="5">
        <f>SUM(I4:I8)</f>
        <v>1275</v>
      </c>
    </row>
    <row r="12" spans="1:11" x14ac:dyDescent="0.2">
      <c r="A12" s="6" t="s">
        <v>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Earnings</vt:lpstr>
      <vt:lpstr>Private Rides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Andrii Berdnikov</cp:lastModifiedBy>
  <cp:revision>0</cp:revision>
  <dcterms:created xsi:type="dcterms:W3CDTF">2026-07-10T18:30:31Z</dcterms:created>
  <dcterms:modified xsi:type="dcterms:W3CDTF">2026-07-20T20:24:25Z</dcterms:modified>
  <dc:language>en-US</dc:language>
</cp:coreProperties>
</file>